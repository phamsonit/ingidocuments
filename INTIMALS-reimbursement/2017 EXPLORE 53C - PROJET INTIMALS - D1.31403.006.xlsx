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PENSES" sheetId="1" state="visible" r:id="rId2"/>
    <sheet name="ETAT GENERAL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<sst xmlns="http://schemas.openxmlformats.org/spreadsheetml/2006/main" count="497" uniqueCount="146">
  <si>
    <t xml:space="preserve">2017 EXPLORE 53C - PROJET INTIMALS - 2EME 9 MOIS - 01/10/2018-30/06/2019</t>
  </si>
  <si>
    <t xml:space="preserve">Elément d'OTP</t>
  </si>
  <si>
    <t xml:space="preserve">Date pièce</t>
  </si>
  <si>
    <t xml:space="preserve">Date compt.</t>
  </si>
  <si>
    <t xml:space="preserve">Nº pièce </t>
  </si>
  <si>
    <t xml:space="preserve">Désignation</t>
  </si>
  <si>
    <t xml:space="preserve">Nom du tiers</t>
  </si>
  <si>
    <t xml:space="preserve">Texte d'en-tête document</t>
  </si>
  <si>
    <t xml:space="preserve">Texte poste</t>
  </si>
  <si>
    <t xml:space="preserve">Référence</t>
  </si>
  <si>
    <t xml:space="preserve">Montant</t>
  </si>
  <si>
    <t xml:space="preserve">Remarques</t>
  </si>
  <si>
    <t xml:space="preserve">D1.31403.006-E</t>
  </si>
  <si>
    <t xml:space="preserve">31018322</t>
  </si>
  <si>
    <t xml:space="preserve">Fournitures informat</t>
  </si>
  <si>
    <t xml:space="preserve">TDH COMPUTERS SPRL</t>
  </si>
  <si>
    <t xml:space="preserve">ADFI1201900019809</t>
  </si>
  <si>
    <t xml:space="preserve">F1905541</t>
  </si>
  <si>
    <t xml:space="preserve">D1.31403.006-F</t>
  </si>
  <si>
    <t xml:space="preserve">31040413</t>
  </si>
  <si>
    <t xml:space="preserve">ADFI1201800046893</t>
  </si>
  <si>
    <t xml:space="preserve">F1815994</t>
  </si>
  <si>
    <t xml:space="preserve">Peut-être imputé sur -E?</t>
  </si>
  <si>
    <t xml:space="preserve">31040968</t>
  </si>
  <si>
    <t xml:space="preserve">IT PRO NV</t>
  </si>
  <si>
    <t xml:space="preserve">ADFI1201800048436</t>
  </si>
  <si>
    <t xml:space="preserve">1855020338</t>
  </si>
  <si>
    <t xml:space="preserve">33002758</t>
  </si>
  <si>
    <t xml:space="preserve">Frais déplacements h</t>
  </si>
  <si>
    <t xml:space="preserve">HOANG SON PHAM</t>
  </si>
  <si>
    <t xml:space="preserve">5502300399</t>
  </si>
  <si>
    <t xml:space="preserve">meeting vub 12/10/18-11/01/19</t>
  </si>
  <si>
    <t xml:space="preserve">NF/ VUB TRAVEL</t>
  </si>
  <si>
    <t xml:space="preserve">D1.31403.006-P</t>
  </si>
  <si>
    <t xml:space="preserve">1200024864</t>
  </si>
  <si>
    <t xml:space="preserve">PS temp - Coût compl</t>
  </si>
  <si>
    <t xml:space="preserve">PP0000009910</t>
  </si>
  <si>
    <t xml:space="preserve">Pham Hoang Son</t>
  </si>
  <si>
    <t xml:space="preserve">XXXXX00163</t>
  </si>
  <si>
    <t xml:space="preserve">1200025528</t>
  </si>
  <si>
    <t xml:space="preserve">PP0000009953</t>
  </si>
  <si>
    <t xml:space="preserve">XXXXX00172</t>
  </si>
  <si>
    <t xml:space="preserve">1200029471</t>
  </si>
  <si>
    <t xml:space="preserve">PP0000010009</t>
  </si>
  <si>
    <t xml:space="preserve">XXXXX00232</t>
  </si>
  <si>
    <t xml:space="preserve">1200001772</t>
  </si>
  <si>
    <t xml:space="preserve">PP0000010056</t>
  </si>
  <si>
    <t xml:space="preserve">XXXXX00198</t>
  </si>
  <si>
    <t xml:space="preserve">1200004147</t>
  </si>
  <si>
    <t xml:space="preserve">PP0000010105</t>
  </si>
  <si>
    <t xml:space="preserve">XXXXX00050</t>
  </si>
  <si>
    <t xml:space="preserve">1200006543</t>
  </si>
  <si>
    <t xml:space="preserve">PP0000010146</t>
  </si>
  <si>
    <t xml:space="preserve">XXXXX00053</t>
  </si>
  <si>
    <t xml:space="preserve">1200008869</t>
  </si>
  <si>
    <t xml:space="preserve">PP0000010186</t>
  </si>
  <si>
    <t xml:space="preserve">XXXXX00106</t>
  </si>
  <si>
    <t xml:space="preserve">1200011097</t>
  </si>
  <si>
    <t xml:space="preserve">PP0000010235</t>
  </si>
  <si>
    <t xml:space="preserve">XXXXX00046</t>
  </si>
  <si>
    <t xml:space="preserve">1200013836</t>
  </si>
  <si>
    <t xml:space="preserve">PP0000010277</t>
  </si>
  <si>
    <t xml:space="preserve">XXXXX00073</t>
  </si>
  <si>
    <t xml:space="preserve">PS temp - Double péc</t>
  </si>
  <si>
    <t xml:space="preserve">1200029474</t>
  </si>
  <si>
    <t xml:space="preserve">PS temp - Allocation</t>
  </si>
  <si>
    <t xml:space="preserve">XXXXX00235</t>
  </si>
  <si>
    <t xml:space="preserve">PST Dot prov péc vac</t>
  </si>
  <si>
    <t xml:space="preserve">PST Rep prov péc vac</t>
  </si>
  <si>
    <t xml:space="preserve">PST Dot prov AFA</t>
  </si>
  <si>
    <t xml:space="preserve">PST Rep prov AFA</t>
  </si>
  <si>
    <t xml:space="preserve">2017 EXPLORE 53C - PROJET INTIMALS - 1ER 9 MOIS - 01/01/2018-30/09/2018</t>
  </si>
  <si>
    <t xml:space="preserve">1200003604</t>
  </si>
  <si>
    <t xml:space="preserve">PP0000009576</t>
  </si>
  <si>
    <t xml:space="preserve">XXXXX00055</t>
  </si>
  <si>
    <t xml:space="preserve">1200007052</t>
  </si>
  <si>
    <t xml:space="preserve">PP0000009617</t>
  </si>
  <si>
    <t xml:space="preserve">XXXXX00007</t>
  </si>
  <si>
    <t xml:space="preserve">1200010007</t>
  </si>
  <si>
    <t xml:space="preserve">PP0000009653</t>
  </si>
  <si>
    <t xml:space="preserve">XXXXX00011</t>
  </si>
  <si>
    <t xml:space="preserve">1200011973</t>
  </si>
  <si>
    <t xml:space="preserve">PP0000009685</t>
  </si>
  <si>
    <t xml:space="preserve">XXXXX00015</t>
  </si>
  <si>
    <t xml:space="preserve">1200015238</t>
  </si>
  <si>
    <t xml:space="preserve">PP0000009727</t>
  </si>
  <si>
    <t xml:space="preserve">XXXXX00018</t>
  </si>
  <si>
    <t xml:space="preserve">1200017428</t>
  </si>
  <si>
    <t xml:space="preserve">PP0000009771</t>
  </si>
  <si>
    <t xml:space="preserve">1200020151</t>
  </si>
  <si>
    <t xml:space="preserve">PP0000009817</t>
  </si>
  <si>
    <t xml:space="preserve">XXXXX00215</t>
  </si>
  <si>
    <t xml:space="preserve">1200022563</t>
  </si>
  <si>
    <t xml:space="preserve">PP0000009861</t>
  </si>
  <si>
    <t xml:space="preserve">XXXXX00193</t>
  </si>
  <si>
    <t xml:space="preserve">1200007073</t>
  </si>
  <si>
    <t xml:space="preserve">XXXXX00030</t>
  </si>
  <si>
    <t xml:space="preserve">1200017429</t>
  </si>
  <si>
    <t xml:space="preserve">XXXXX00017</t>
  </si>
  <si>
    <t xml:space="preserve">1200020150</t>
  </si>
  <si>
    <t xml:space="preserve">XXXXX00214</t>
  </si>
  <si>
    <t xml:space="preserve">35002508</t>
  </si>
  <si>
    <t xml:space="preserve">Inscription Perfecti</t>
  </si>
  <si>
    <t xml:space="preserve">EINDHOVEN UNIVERSITY OF TECH.</t>
  </si>
  <si>
    <t xml:space="preserve">5502200736</t>
  </si>
  <si>
    <t xml:space="preserve">SUMMERSCHOOL 2018 BSOR 325120 -1004044 PHAM SON</t>
  </si>
  <si>
    <t xml:space="preserve">3251201004044PHA</t>
  </si>
  <si>
    <t xml:space="preserve">42022288</t>
  </si>
  <si>
    <t xml:space="preserve">Autres Déplacements</t>
  </si>
  <si>
    <t xml:space="preserve">Fact 3725142 Vge 19/06/18</t>
  </si>
  <si>
    <t xml:space="preserve">NIJMEGEN / Pham Hoangson</t>
  </si>
  <si>
    <t xml:space="preserve">CARLSON WAGONLIT</t>
  </si>
  <si>
    <t xml:space="preserve">LOUVAIN-LA-NEUVE / Pham Hoangson</t>
  </si>
  <si>
    <t xml:space="preserve">42022399</t>
  </si>
  <si>
    <t xml:space="preserve">Fact 3726782 Vge 03/07/18</t>
  </si>
  <si>
    <t xml:space="preserve">42022406</t>
  </si>
  <si>
    <t xml:space="preserve">Fact 3726865 Vge 04/07/18</t>
  </si>
  <si>
    <t xml:space="preserve">36006904</t>
  </si>
  <si>
    <t xml:space="preserve">Achat matériel infor</t>
  </si>
  <si>
    <t xml:space="preserve">ADFI1201800010595</t>
  </si>
  <si>
    <t xml:space="preserve">550027334</t>
  </si>
  <si>
    <t xml:space="preserve">2017 EXPLORE 53C - PROJET INTIMALS </t>
  </si>
  <si>
    <t xml:space="preserve">ETAT GENERAL DEPENSES DU 01/01/2018-30/06/2019</t>
  </si>
  <si>
    <t xml:space="preserve">DECLARE</t>
  </si>
  <si>
    <t xml:space="preserve">ACCEPTE</t>
  </si>
  <si>
    <t xml:space="preserve">ART.</t>
  </si>
  <si>
    <t xml:space="preserve">LIBELLE</t>
  </si>
  <si>
    <t xml:space="preserve">CREDIT</t>
  </si>
  <si>
    <t xml:space="preserve">1ER 9 MOIS</t>
  </si>
  <si>
    <t xml:space="preserve">2EME 9 MOIS</t>
  </si>
  <si>
    <t xml:space="preserve">FRAIS DE PERSONNEL</t>
  </si>
  <si>
    <t xml:space="preserve">1.1</t>
  </si>
  <si>
    <t xml:space="preserve">HOANG SON PHAM 100% (DEBUT 01/02/2018)</t>
  </si>
  <si>
    <t xml:space="preserve">FRAIS DE FONCTIONNEMENT</t>
  </si>
  <si>
    <t xml:space="preserve">2.1</t>
  </si>
  <si>
    <t xml:space="preserve">CONFERENCES</t>
  </si>
  <si>
    <t xml:space="preserve">2.2</t>
  </si>
  <si>
    <t xml:space="preserve">PRINTING AND ORGANISATION COSTS</t>
  </si>
  <si>
    <t xml:space="preserve">2.3</t>
  </si>
  <si>
    <t xml:space="preserve">SOFTWARE</t>
  </si>
  <si>
    <t xml:space="preserve">FRAIS D'EQUIPEMENT</t>
  </si>
  <si>
    <t xml:space="preserve">3.1</t>
  </si>
  <si>
    <t xml:space="preserve">1 ORINATEUR MAC BOOK 1x5000 36/36</t>
  </si>
  <si>
    <t xml:space="preserve">FRAIS GENERAUX </t>
  </si>
  <si>
    <t xml:space="preserve">10% FRAIS DE PERSONNEL ET DE FONCTIONNEMENT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</si>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</sst>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#,##0.00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DDDDDD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DDDD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2:K8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K41" activeCellId="0" sqref="K41"/>
    </sheetView>
  </sheetViews>
  <sheetFormatPr defaultRowHeight="12.75" zeroHeight="false" outlineLevelRow="2" outlineLevelCol="0"/>
  <cols>
    <col collapsed="false" customWidth="true" hidden="false" outlineLevel="0" max="1" min="1" style="0" width="14.28"/>
    <col collapsed="false" customWidth="true" hidden="false" outlineLevel="0" max="2" min="2" style="0" width="9.85"/>
    <col collapsed="false" customWidth="true" hidden="false" outlineLevel="0" max="3" min="3" style="0" width="11.14"/>
    <col collapsed="false" customWidth="true" hidden="false" outlineLevel="0" max="4" min="4" style="0" width="10.99"/>
    <col collapsed="false" customWidth="true" hidden="false" outlineLevel="0" max="5" min="5" style="0" width="19.57"/>
    <col collapsed="false" customWidth="true" hidden="false" outlineLevel="0" max="6" min="6" style="0" width="11.62"/>
    <col collapsed="false" customWidth="true" hidden="false" outlineLevel="0" max="7" min="7" style="0" width="19.38"/>
    <col collapsed="false" customWidth="true" hidden="false" outlineLevel="0" max="8" min="8" style="0" width="17.38"/>
    <col collapsed="false" customWidth="true" hidden="false" outlineLevel="0" max="9" min="9" style="0" width="15.49"/>
    <col collapsed="false" customWidth="true" hidden="false" outlineLevel="0" max="10" min="10" style="0" width="10.71"/>
    <col collapsed="false" customWidth="true" hidden="false" outlineLevel="0" max="11" min="11" style="0" width="21.57"/>
    <col collapsed="false" customWidth="true" hidden="false" outlineLevel="0" max="1025" min="12" style="0" width="10.5"/>
  </cols>
  <sheetData>
    <row r="2" customFormat="false" ht="12.75" hidden="false" customHeight="fals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2.7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="6" customFormat="true" ht="12.75" hidden="false" customHeight="false" outlineLevel="2" collapsed="false">
      <c r="A4" s="3" t="s">
        <v>12</v>
      </c>
      <c r="B4" s="4" t="n">
        <v>43581</v>
      </c>
      <c r="C4" s="4" t="n">
        <v>43602</v>
      </c>
      <c r="D4" s="3" t="s">
        <v>13</v>
      </c>
      <c r="E4" s="3" t="s">
        <v>14</v>
      </c>
      <c r="F4" s="3" t="s">
        <v>15</v>
      </c>
      <c r="G4" s="3" t="s">
        <v>16</v>
      </c>
      <c r="H4" s="3"/>
      <c r="I4" s="3" t="s">
        <v>17</v>
      </c>
      <c r="J4" s="5" t="n">
        <v>105</v>
      </c>
    </row>
    <row r="5" s="6" customFormat="true" ht="12.75" hidden="false" customHeight="false" outlineLevel="1" collapsed="false">
      <c r="A5" s="7"/>
      <c r="B5" s="8"/>
      <c r="C5" s="8"/>
      <c r="D5" s="7"/>
      <c r="E5" s="7"/>
      <c r="F5" s="7"/>
      <c r="G5" s="7"/>
      <c r="H5" s="7"/>
      <c r="I5" s="7"/>
      <c r="J5" s="9" t="n">
        <f aca="false">SUM(J4)</f>
        <v>105</v>
      </c>
    </row>
    <row r="6" customFormat="false" ht="12.75" hidden="false" customHeight="false" outlineLevel="2" collapsed="false">
      <c r="A6" s="10" t="s">
        <v>18</v>
      </c>
      <c r="B6" s="11" t="n">
        <v>43419</v>
      </c>
      <c r="C6" s="11" t="n">
        <v>43426</v>
      </c>
      <c r="D6" s="10" t="s">
        <v>19</v>
      </c>
      <c r="E6" s="10" t="s">
        <v>14</v>
      </c>
      <c r="F6" s="10" t="s">
        <v>15</v>
      </c>
      <c r="G6" s="10" t="s">
        <v>20</v>
      </c>
      <c r="H6" s="10"/>
      <c r="I6" s="10" t="s">
        <v>21</v>
      </c>
      <c r="J6" s="12" t="n">
        <v>39</v>
      </c>
      <c r="K6" s="10" t="s">
        <v>22</v>
      </c>
    </row>
    <row r="7" customFormat="false" ht="12.75" hidden="false" customHeight="false" outlineLevel="2" collapsed="false">
      <c r="A7" s="10" t="s">
        <v>18</v>
      </c>
      <c r="B7" s="11" t="n">
        <v>43420</v>
      </c>
      <c r="C7" s="11" t="n">
        <v>43431</v>
      </c>
      <c r="D7" s="10" t="s">
        <v>23</v>
      </c>
      <c r="E7" s="10" t="s">
        <v>14</v>
      </c>
      <c r="F7" s="10" t="s">
        <v>24</v>
      </c>
      <c r="G7" s="10" t="s">
        <v>25</v>
      </c>
      <c r="H7" s="10"/>
      <c r="I7" s="10" t="s">
        <v>26</v>
      </c>
      <c r="J7" s="12" t="n">
        <v>76.5</v>
      </c>
      <c r="K7" s="10" t="s">
        <v>22</v>
      </c>
    </row>
    <row r="8" customFormat="false" ht="12.75" hidden="false" customHeight="false" outlineLevel="2" collapsed="false">
      <c r="A8" s="13" t="s">
        <v>18</v>
      </c>
      <c r="B8" s="14" t="n">
        <v>43480</v>
      </c>
      <c r="C8" s="14" t="n">
        <v>43525</v>
      </c>
      <c r="D8" s="13" t="s">
        <v>27</v>
      </c>
      <c r="E8" s="13" t="s">
        <v>28</v>
      </c>
      <c r="F8" s="13" t="s">
        <v>29</v>
      </c>
      <c r="G8" s="13" t="s">
        <v>30</v>
      </c>
      <c r="H8" s="13" t="s">
        <v>31</v>
      </c>
      <c r="I8" s="13" t="s">
        <v>32</v>
      </c>
      <c r="J8" s="15" t="n">
        <v>49.5</v>
      </c>
    </row>
    <row r="9" s="6" customFormat="true" ht="12.75" hidden="false" customHeight="false" outlineLevel="1" collapsed="false">
      <c r="A9" s="7"/>
      <c r="B9" s="8"/>
      <c r="C9" s="8"/>
      <c r="D9" s="7"/>
      <c r="E9" s="7"/>
      <c r="F9" s="7"/>
      <c r="G9" s="7"/>
      <c r="H9" s="7"/>
      <c r="I9" s="7"/>
      <c r="J9" s="9" t="n">
        <f aca="false">SUM(J6:J8)</f>
        <v>165</v>
      </c>
    </row>
    <row r="10" customFormat="false" ht="12.75" hidden="false" customHeight="false" outlineLevel="2" collapsed="false">
      <c r="A10" s="13" t="s">
        <v>33</v>
      </c>
      <c r="B10" s="14" t="n">
        <v>43404</v>
      </c>
      <c r="C10" s="14" t="n">
        <v>43404</v>
      </c>
      <c r="D10" s="13" t="s">
        <v>34</v>
      </c>
      <c r="E10" s="13" t="s">
        <v>35</v>
      </c>
      <c r="F10" s="13"/>
      <c r="G10" s="13" t="s">
        <v>36</v>
      </c>
      <c r="H10" s="13" t="s">
        <v>37</v>
      </c>
      <c r="I10" s="13" t="s">
        <v>38</v>
      </c>
      <c r="J10" s="15" t="n">
        <v>5649.92</v>
      </c>
    </row>
    <row r="11" customFormat="false" ht="12.75" hidden="false" customHeight="false" outlineLevel="2" collapsed="false">
      <c r="A11" s="13" t="s">
        <v>33</v>
      </c>
      <c r="B11" s="14" t="n">
        <v>43434</v>
      </c>
      <c r="C11" s="14" t="n">
        <v>43434</v>
      </c>
      <c r="D11" s="13" t="s">
        <v>39</v>
      </c>
      <c r="E11" s="13" t="s">
        <v>35</v>
      </c>
      <c r="F11" s="13"/>
      <c r="G11" s="13" t="s">
        <v>40</v>
      </c>
      <c r="H11" s="13" t="s">
        <v>37</v>
      </c>
      <c r="I11" s="13" t="s">
        <v>41</v>
      </c>
      <c r="J11" s="15" t="n">
        <v>5649.92</v>
      </c>
    </row>
    <row r="12" customFormat="false" ht="12.75" hidden="false" customHeight="false" outlineLevel="2" collapsed="false">
      <c r="A12" s="13" t="s">
        <v>33</v>
      </c>
      <c r="B12" s="14" t="n">
        <v>43465</v>
      </c>
      <c r="C12" s="14" t="n">
        <v>43465</v>
      </c>
      <c r="D12" s="13" t="s">
        <v>42</v>
      </c>
      <c r="E12" s="13" t="s">
        <v>35</v>
      </c>
      <c r="F12" s="13"/>
      <c r="G12" s="13" t="s">
        <v>43</v>
      </c>
      <c r="H12" s="13" t="s">
        <v>37</v>
      </c>
      <c r="I12" s="13" t="s">
        <v>44</v>
      </c>
      <c r="J12" s="15" t="n">
        <v>6119.9</v>
      </c>
    </row>
    <row r="13" customFormat="false" ht="12.75" hidden="false" customHeight="false" outlineLevel="2" collapsed="false">
      <c r="A13" s="13" t="s">
        <v>33</v>
      </c>
      <c r="B13" s="14" t="n">
        <v>43496</v>
      </c>
      <c r="C13" s="14" t="n">
        <v>43496</v>
      </c>
      <c r="D13" s="13" t="s">
        <v>45</v>
      </c>
      <c r="E13" s="13" t="s">
        <v>35</v>
      </c>
      <c r="F13" s="13"/>
      <c r="G13" s="13" t="s">
        <v>46</v>
      </c>
      <c r="H13" s="13" t="s">
        <v>37</v>
      </c>
      <c r="I13" s="13" t="s">
        <v>47</v>
      </c>
      <c r="J13" s="15" t="n">
        <v>5649.92</v>
      </c>
    </row>
    <row r="14" customFormat="false" ht="12.75" hidden="false" customHeight="false" outlineLevel="2" collapsed="false">
      <c r="A14" s="13" t="s">
        <v>33</v>
      </c>
      <c r="B14" s="14" t="n">
        <v>43524</v>
      </c>
      <c r="C14" s="14" t="n">
        <v>43524</v>
      </c>
      <c r="D14" s="13" t="s">
        <v>48</v>
      </c>
      <c r="E14" s="13" t="s">
        <v>35</v>
      </c>
      <c r="F14" s="13"/>
      <c r="G14" s="13" t="s">
        <v>49</v>
      </c>
      <c r="H14" s="13" t="s">
        <v>37</v>
      </c>
      <c r="I14" s="13" t="s">
        <v>50</v>
      </c>
      <c r="J14" s="15" t="n">
        <v>5649.93</v>
      </c>
    </row>
    <row r="15" customFormat="false" ht="12.75" hidden="false" customHeight="false" outlineLevel="2" collapsed="false">
      <c r="A15" s="13" t="s">
        <v>33</v>
      </c>
      <c r="B15" s="14" t="n">
        <v>43524</v>
      </c>
      <c r="C15" s="14" t="n">
        <v>43524</v>
      </c>
      <c r="D15" s="13" t="s">
        <v>48</v>
      </c>
      <c r="E15" s="13" t="s">
        <v>35</v>
      </c>
      <c r="F15" s="13"/>
      <c r="G15" s="13" t="s">
        <v>49</v>
      </c>
      <c r="H15" s="13" t="s">
        <v>37</v>
      </c>
      <c r="I15" s="13" t="s">
        <v>50</v>
      </c>
      <c r="J15" s="15" t="n">
        <v>0.01</v>
      </c>
    </row>
    <row r="16" customFormat="false" ht="12.75" hidden="false" customHeight="false" outlineLevel="2" collapsed="false">
      <c r="A16" s="13" t="s">
        <v>33</v>
      </c>
      <c r="B16" s="14" t="n">
        <v>43555</v>
      </c>
      <c r="C16" s="14" t="n">
        <v>43555</v>
      </c>
      <c r="D16" s="13" t="s">
        <v>51</v>
      </c>
      <c r="E16" s="13" t="s">
        <v>35</v>
      </c>
      <c r="F16" s="13"/>
      <c r="G16" s="13" t="s">
        <v>52</v>
      </c>
      <c r="H16" s="13" t="s">
        <v>37</v>
      </c>
      <c r="I16" s="13" t="s">
        <v>53</v>
      </c>
      <c r="J16" s="15" t="n">
        <v>5649.93</v>
      </c>
    </row>
    <row r="17" customFormat="false" ht="12.75" hidden="false" customHeight="false" outlineLevel="2" collapsed="false">
      <c r="A17" s="13" t="s">
        <v>33</v>
      </c>
      <c r="B17" s="14" t="n">
        <v>43585</v>
      </c>
      <c r="C17" s="14" t="n">
        <v>43585</v>
      </c>
      <c r="D17" s="13" t="s">
        <v>54</v>
      </c>
      <c r="E17" s="13" t="s">
        <v>35</v>
      </c>
      <c r="F17" s="13"/>
      <c r="G17" s="13" t="s">
        <v>55</v>
      </c>
      <c r="H17" s="13" t="s">
        <v>37</v>
      </c>
      <c r="I17" s="13" t="s">
        <v>56</v>
      </c>
      <c r="J17" s="15" t="n">
        <v>5649.93</v>
      </c>
    </row>
    <row r="18" customFormat="false" ht="12.75" hidden="false" customHeight="false" outlineLevel="2" collapsed="false">
      <c r="A18" s="13" t="s">
        <v>33</v>
      </c>
      <c r="B18" s="14" t="n">
        <v>43616</v>
      </c>
      <c r="C18" s="14" t="n">
        <v>43616</v>
      </c>
      <c r="D18" s="13" t="s">
        <v>57</v>
      </c>
      <c r="E18" s="13" t="s">
        <v>35</v>
      </c>
      <c r="F18" s="13"/>
      <c r="G18" s="13" t="s">
        <v>58</v>
      </c>
      <c r="H18" s="13" t="s">
        <v>37</v>
      </c>
      <c r="I18" s="13" t="s">
        <v>59</v>
      </c>
      <c r="J18" s="15" t="n">
        <v>5649.93</v>
      </c>
    </row>
    <row r="19" customFormat="false" ht="12.75" hidden="false" customHeight="false" outlineLevel="2" collapsed="false">
      <c r="A19" s="13" t="s">
        <v>33</v>
      </c>
      <c r="B19" s="14" t="n">
        <v>43646</v>
      </c>
      <c r="C19" s="14" t="n">
        <v>43646</v>
      </c>
      <c r="D19" s="13" t="s">
        <v>60</v>
      </c>
      <c r="E19" s="13" t="s">
        <v>35</v>
      </c>
      <c r="F19" s="13"/>
      <c r="G19" s="13" t="s">
        <v>61</v>
      </c>
      <c r="H19" s="13" t="s">
        <v>37</v>
      </c>
      <c r="I19" s="13" t="s">
        <v>62</v>
      </c>
      <c r="J19" s="15" t="n">
        <v>5661.88</v>
      </c>
    </row>
    <row r="20" customFormat="false" ht="12.75" hidden="false" customHeight="false" outlineLevel="2" collapsed="false">
      <c r="A20" s="13" t="s">
        <v>33</v>
      </c>
      <c r="B20" s="14" t="n">
        <v>43646</v>
      </c>
      <c r="C20" s="14" t="n">
        <v>43646</v>
      </c>
      <c r="D20" s="13" t="s">
        <v>60</v>
      </c>
      <c r="E20" s="13" t="s">
        <v>63</v>
      </c>
      <c r="F20" s="13"/>
      <c r="G20" s="13" t="s">
        <v>61</v>
      </c>
      <c r="H20" s="13" t="s">
        <v>37</v>
      </c>
      <c r="I20" s="13" t="s">
        <v>62</v>
      </c>
      <c r="J20" s="15" t="n">
        <v>3695.59</v>
      </c>
    </row>
    <row r="21" customFormat="false" ht="12.75" hidden="false" customHeight="false" outlineLevel="2" collapsed="false">
      <c r="A21" s="13" t="s">
        <v>33</v>
      </c>
      <c r="B21" s="14" t="n">
        <v>43465</v>
      </c>
      <c r="C21" s="14" t="n">
        <v>43465</v>
      </c>
      <c r="D21" s="13" t="s">
        <v>64</v>
      </c>
      <c r="E21" s="13" t="s">
        <v>65</v>
      </c>
      <c r="F21" s="13"/>
      <c r="G21" s="13" t="s">
        <v>43</v>
      </c>
      <c r="H21" s="13" t="s">
        <v>37</v>
      </c>
      <c r="I21" s="13" t="s">
        <v>66</v>
      </c>
      <c r="J21" s="15" t="n">
        <v>1729.13</v>
      </c>
    </row>
    <row r="22" customFormat="false" ht="12.75" hidden="false" customHeight="false" outlineLevel="2" collapsed="false">
      <c r="A22" s="13" t="s">
        <v>33</v>
      </c>
      <c r="B22" s="14" t="n">
        <v>43404</v>
      </c>
      <c r="C22" s="14" t="n">
        <v>43404</v>
      </c>
      <c r="D22" s="13" t="s">
        <v>34</v>
      </c>
      <c r="E22" s="13" t="s">
        <v>67</v>
      </c>
      <c r="F22" s="13"/>
      <c r="G22" s="13" t="s">
        <v>36</v>
      </c>
      <c r="H22" s="13" t="s">
        <v>37</v>
      </c>
      <c r="I22" s="13" t="s">
        <v>38</v>
      </c>
      <c r="J22" s="15" t="n">
        <v>775.15</v>
      </c>
    </row>
    <row r="23" customFormat="false" ht="12.75" hidden="false" customHeight="false" outlineLevel="2" collapsed="false">
      <c r="A23" s="13" t="s">
        <v>33</v>
      </c>
      <c r="B23" s="14" t="n">
        <v>43434</v>
      </c>
      <c r="C23" s="14" t="n">
        <v>43434</v>
      </c>
      <c r="D23" s="13" t="s">
        <v>39</v>
      </c>
      <c r="E23" s="13" t="s">
        <v>67</v>
      </c>
      <c r="F23" s="13"/>
      <c r="G23" s="13" t="s">
        <v>40</v>
      </c>
      <c r="H23" s="13" t="s">
        <v>37</v>
      </c>
      <c r="I23" s="13" t="s">
        <v>41</v>
      </c>
      <c r="J23" s="15" t="n">
        <v>775.15</v>
      </c>
    </row>
    <row r="24" customFormat="false" ht="12.75" hidden="false" customHeight="false" outlineLevel="2" collapsed="false">
      <c r="A24" s="13" t="s">
        <v>33</v>
      </c>
      <c r="B24" s="14" t="n">
        <v>43465</v>
      </c>
      <c r="C24" s="14" t="n">
        <v>43465</v>
      </c>
      <c r="D24" s="13" t="s">
        <v>42</v>
      </c>
      <c r="E24" s="13" t="s">
        <v>67</v>
      </c>
      <c r="F24" s="13"/>
      <c r="G24" s="13" t="s">
        <v>43</v>
      </c>
      <c r="H24" s="13" t="s">
        <v>37</v>
      </c>
      <c r="I24" s="13" t="s">
        <v>44</v>
      </c>
      <c r="J24" s="15" t="n">
        <v>775.15</v>
      </c>
    </row>
    <row r="25" customFormat="false" ht="12.75" hidden="false" customHeight="false" outlineLevel="2" collapsed="false">
      <c r="A25" s="13" t="s">
        <v>33</v>
      </c>
      <c r="B25" s="14" t="n">
        <v>43496</v>
      </c>
      <c r="C25" s="14" t="n">
        <v>43496</v>
      </c>
      <c r="D25" s="13" t="s">
        <v>45</v>
      </c>
      <c r="E25" s="13" t="s">
        <v>67</v>
      </c>
      <c r="F25" s="13"/>
      <c r="G25" s="13" t="s">
        <v>46</v>
      </c>
      <c r="H25" s="13" t="s">
        <v>37</v>
      </c>
      <c r="I25" s="13" t="s">
        <v>47</v>
      </c>
      <c r="J25" s="15" t="n">
        <v>775.15</v>
      </c>
    </row>
    <row r="26" customFormat="false" ht="12.75" hidden="false" customHeight="false" outlineLevel="2" collapsed="false">
      <c r="A26" s="13" t="s">
        <v>33</v>
      </c>
      <c r="B26" s="14" t="n">
        <v>43524</v>
      </c>
      <c r="C26" s="14" t="n">
        <v>43524</v>
      </c>
      <c r="D26" s="13" t="s">
        <v>48</v>
      </c>
      <c r="E26" s="13" t="s">
        <v>67</v>
      </c>
      <c r="F26" s="13"/>
      <c r="G26" s="13" t="s">
        <v>49</v>
      </c>
      <c r="H26" s="13" t="s">
        <v>37</v>
      </c>
      <c r="I26" s="13" t="s">
        <v>50</v>
      </c>
      <c r="J26" s="15" t="n">
        <v>775.15</v>
      </c>
    </row>
    <row r="27" customFormat="false" ht="12.75" hidden="false" customHeight="false" outlineLevel="2" collapsed="false">
      <c r="A27" s="13" t="s">
        <v>33</v>
      </c>
      <c r="B27" s="14" t="n">
        <v>43555</v>
      </c>
      <c r="C27" s="14" t="n">
        <v>43555</v>
      </c>
      <c r="D27" s="13" t="s">
        <v>51</v>
      </c>
      <c r="E27" s="13" t="s">
        <v>67</v>
      </c>
      <c r="F27" s="13"/>
      <c r="G27" s="13" t="s">
        <v>52</v>
      </c>
      <c r="H27" s="13" t="s">
        <v>37</v>
      </c>
      <c r="I27" s="13" t="s">
        <v>53</v>
      </c>
      <c r="J27" s="15" t="n">
        <v>775.15</v>
      </c>
    </row>
    <row r="28" customFormat="false" ht="12.75" hidden="false" customHeight="false" outlineLevel="2" collapsed="false">
      <c r="A28" s="13" t="s">
        <v>33</v>
      </c>
      <c r="B28" s="14" t="n">
        <v>43585</v>
      </c>
      <c r="C28" s="14" t="n">
        <v>43585</v>
      </c>
      <c r="D28" s="13" t="s">
        <v>54</v>
      </c>
      <c r="E28" s="13" t="s">
        <v>67</v>
      </c>
      <c r="F28" s="13"/>
      <c r="G28" s="13" t="s">
        <v>55</v>
      </c>
      <c r="H28" s="13" t="s">
        <v>37</v>
      </c>
      <c r="I28" s="13" t="s">
        <v>56</v>
      </c>
      <c r="J28" s="15" t="n">
        <v>775.15</v>
      </c>
    </row>
    <row r="29" customFormat="false" ht="12.75" hidden="false" customHeight="false" outlineLevel="2" collapsed="false">
      <c r="A29" s="13" t="s">
        <v>33</v>
      </c>
      <c r="B29" s="14" t="n">
        <v>43616</v>
      </c>
      <c r="C29" s="14" t="n">
        <v>43616</v>
      </c>
      <c r="D29" s="13" t="s">
        <v>57</v>
      </c>
      <c r="E29" s="13" t="s">
        <v>67</v>
      </c>
      <c r="F29" s="13"/>
      <c r="G29" s="13" t="s">
        <v>58</v>
      </c>
      <c r="H29" s="13" t="s">
        <v>37</v>
      </c>
      <c r="I29" s="13" t="s">
        <v>59</v>
      </c>
      <c r="J29" s="15" t="n">
        <v>775.15</v>
      </c>
    </row>
    <row r="30" customFormat="false" ht="12.75" hidden="false" customHeight="false" outlineLevel="2" collapsed="false">
      <c r="A30" s="13" t="s">
        <v>33</v>
      </c>
      <c r="B30" s="14" t="n">
        <v>43646</v>
      </c>
      <c r="C30" s="14" t="n">
        <v>43646</v>
      </c>
      <c r="D30" s="13" t="s">
        <v>60</v>
      </c>
      <c r="E30" s="13" t="s">
        <v>67</v>
      </c>
      <c r="F30" s="13"/>
      <c r="G30" s="13" t="s">
        <v>61</v>
      </c>
      <c r="H30" s="13" t="s">
        <v>37</v>
      </c>
      <c r="I30" s="13" t="s">
        <v>62</v>
      </c>
      <c r="J30" s="15" t="n">
        <v>775.15</v>
      </c>
    </row>
    <row r="31" customFormat="false" ht="12.75" hidden="false" customHeight="false" outlineLevel="2" collapsed="false">
      <c r="A31" s="13" t="s">
        <v>33</v>
      </c>
      <c r="B31" s="14" t="n">
        <v>43646</v>
      </c>
      <c r="C31" s="14" t="n">
        <v>43646</v>
      </c>
      <c r="D31" s="13" t="s">
        <v>60</v>
      </c>
      <c r="E31" s="13" t="s">
        <v>68</v>
      </c>
      <c r="F31" s="13"/>
      <c r="G31" s="13" t="s">
        <v>61</v>
      </c>
      <c r="H31" s="13" t="s">
        <v>37</v>
      </c>
      <c r="I31" s="13" t="s">
        <v>62</v>
      </c>
      <c r="J31" s="15" t="n">
        <v>-8315.42</v>
      </c>
    </row>
    <row r="32" customFormat="false" ht="12.75" hidden="false" customHeight="false" outlineLevel="2" collapsed="false">
      <c r="A32" s="13" t="s">
        <v>33</v>
      </c>
      <c r="B32" s="14" t="n">
        <v>43496</v>
      </c>
      <c r="C32" s="14" t="n">
        <v>43496</v>
      </c>
      <c r="D32" s="13" t="s">
        <v>45</v>
      </c>
      <c r="E32" s="13" t="s">
        <v>69</v>
      </c>
      <c r="F32" s="13"/>
      <c r="G32" s="13" t="s">
        <v>46</v>
      </c>
      <c r="H32" s="13" t="s">
        <v>37</v>
      </c>
      <c r="I32" s="13" t="s">
        <v>47</v>
      </c>
      <c r="J32" s="15" t="n">
        <v>274.89</v>
      </c>
    </row>
    <row r="33" customFormat="false" ht="12.75" hidden="false" customHeight="false" outlineLevel="2" collapsed="false">
      <c r="A33" s="13" t="s">
        <v>33</v>
      </c>
      <c r="B33" s="14" t="n">
        <v>43524</v>
      </c>
      <c r="C33" s="14" t="n">
        <v>43524</v>
      </c>
      <c r="D33" s="13" t="s">
        <v>48</v>
      </c>
      <c r="E33" s="13" t="s">
        <v>69</v>
      </c>
      <c r="F33" s="13"/>
      <c r="G33" s="13" t="s">
        <v>49</v>
      </c>
      <c r="H33" s="13" t="s">
        <v>37</v>
      </c>
      <c r="I33" s="13" t="s">
        <v>50</v>
      </c>
      <c r="J33" s="15" t="n">
        <v>274.89</v>
      </c>
    </row>
    <row r="34" customFormat="false" ht="12.75" hidden="false" customHeight="false" outlineLevel="2" collapsed="false">
      <c r="A34" s="13" t="s">
        <v>33</v>
      </c>
      <c r="B34" s="14" t="n">
        <v>43555</v>
      </c>
      <c r="C34" s="14" t="n">
        <v>43555</v>
      </c>
      <c r="D34" s="13" t="s">
        <v>51</v>
      </c>
      <c r="E34" s="13" t="s">
        <v>69</v>
      </c>
      <c r="F34" s="13"/>
      <c r="G34" s="13" t="s">
        <v>52</v>
      </c>
      <c r="H34" s="13" t="s">
        <v>37</v>
      </c>
      <c r="I34" s="13" t="s">
        <v>53</v>
      </c>
      <c r="J34" s="15" t="n">
        <v>274.89</v>
      </c>
    </row>
    <row r="35" customFormat="false" ht="12.75" hidden="false" customHeight="false" outlineLevel="2" collapsed="false">
      <c r="A35" s="13" t="s">
        <v>33</v>
      </c>
      <c r="B35" s="14" t="n">
        <v>43585</v>
      </c>
      <c r="C35" s="14" t="n">
        <v>43585</v>
      </c>
      <c r="D35" s="13" t="s">
        <v>54</v>
      </c>
      <c r="E35" s="13" t="s">
        <v>69</v>
      </c>
      <c r="F35" s="13"/>
      <c r="G35" s="13" t="s">
        <v>55</v>
      </c>
      <c r="H35" s="13" t="s">
        <v>37</v>
      </c>
      <c r="I35" s="13" t="s">
        <v>56</v>
      </c>
      <c r="J35" s="15" t="n">
        <v>274.89</v>
      </c>
    </row>
    <row r="36" customFormat="false" ht="12.75" hidden="false" customHeight="false" outlineLevel="2" collapsed="false">
      <c r="A36" s="13" t="s">
        <v>33</v>
      </c>
      <c r="B36" s="14" t="n">
        <v>43616</v>
      </c>
      <c r="C36" s="14" t="n">
        <v>43616</v>
      </c>
      <c r="D36" s="13" t="s">
        <v>57</v>
      </c>
      <c r="E36" s="13" t="s">
        <v>69</v>
      </c>
      <c r="F36" s="13"/>
      <c r="G36" s="13" t="s">
        <v>58</v>
      </c>
      <c r="H36" s="13" t="s">
        <v>37</v>
      </c>
      <c r="I36" s="13" t="s">
        <v>59</v>
      </c>
      <c r="J36" s="15" t="n">
        <v>274.89</v>
      </c>
    </row>
    <row r="37" customFormat="false" ht="12.75" hidden="false" customHeight="false" outlineLevel="2" collapsed="false">
      <c r="A37" s="13" t="s">
        <v>33</v>
      </c>
      <c r="B37" s="14" t="n">
        <v>43646</v>
      </c>
      <c r="C37" s="14" t="n">
        <v>43646</v>
      </c>
      <c r="D37" s="13" t="s">
        <v>60</v>
      </c>
      <c r="E37" s="13" t="s">
        <v>69</v>
      </c>
      <c r="F37" s="13"/>
      <c r="G37" s="13" t="s">
        <v>61</v>
      </c>
      <c r="H37" s="13" t="s">
        <v>37</v>
      </c>
      <c r="I37" s="13" t="s">
        <v>62</v>
      </c>
      <c r="J37" s="15" t="n">
        <v>274.89</v>
      </c>
    </row>
    <row r="38" s="6" customFormat="true" ht="12.75" hidden="false" customHeight="false" outlineLevel="2" collapsed="false">
      <c r="A38" s="3" t="s">
        <v>33</v>
      </c>
      <c r="B38" s="4" t="n">
        <v>43465</v>
      </c>
      <c r="C38" s="4" t="n">
        <v>43465</v>
      </c>
      <c r="D38" s="3" t="s">
        <v>42</v>
      </c>
      <c r="E38" s="3" t="s">
        <v>70</v>
      </c>
      <c r="F38" s="3"/>
      <c r="G38" s="3" t="s">
        <v>43</v>
      </c>
      <c r="H38" s="3" t="s">
        <v>37</v>
      </c>
      <c r="I38" s="3" t="s">
        <v>44</v>
      </c>
      <c r="J38" s="5" t="n">
        <v>-2150.42</v>
      </c>
    </row>
    <row r="39" s="6" customFormat="true" ht="12.75" hidden="false" customHeight="false" outlineLevel="2" collapsed="false">
      <c r="A39" s="7"/>
      <c r="B39" s="8"/>
      <c r="C39" s="8"/>
      <c r="D39" s="7"/>
      <c r="E39" s="7"/>
      <c r="F39" s="7"/>
      <c r="G39" s="7"/>
      <c r="H39" s="7"/>
      <c r="I39" s="7"/>
      <c r="J39" s="9" t="n">
        <f aca="false">SUM(J10:J38)</f>
        <v>54915.84</v>
      </c>
    </row>
    <row r="40" s="6" customFormat="true" ht="12.75" hidden="false" customHeight="false" outlineLevel="2" collapsed="false">
      <c r="B40" s="16"/>
      <c r="C40" s="16"/>
      <c r="J40" s="17"/>
    </row>
    <row r="41" customFormat="false" ht="12.75" hidden="false" customHeight="false" outlineLevel="0" collapsed="false">
      <c r="A41" s="1" t="s">
        <v>71</v>
      </c>
      <c r="B41" s="1"/>
      <c r="C41" s="1"/>
      <c r="D41" s="1"/>
      <c r="E41" s="1"/>
      <c r="F41" s="1"/>
      <c r="G41" s="1"/>
      <c r="H41" s="1"/>
      <c r="I41" s="1"/>
      <c r="J41" s="1"/>
    </row>
    <row r="42" customFormat="false" ht="12.75" hidden="false" customHeight="false" outlineLevel="0" collapsed="false">
      <c r="A42" s="2" t="s">
        <v>1</v>
      </c>
      <c r="B42" s="2" t="s">
        <v>2</v>
      </c>
      <c r="C42" s="2" t="s">
        <v>3</v>
      </c>
      <c r="D42" s="2" t="s">
        <v>4</v>
      </c>
      <c r="E42" s="2" t="s">
        <v>5</v>
      </c>
      <c r="F42" s="2" t="s">
        <v>6</v>
      </c>
      <c r="G42" s="2" t="s">
        <v>7</v>
      </c>
      <c r="H42" s="2" t="s">
        <v>8</v>
      </c>
      <c r="I42" s="2" t="s">
        <v>9</v>
      </c>
      <c r="J42" s="2" t="s">
        <v>10</v>
      </c>
    </row>
    <row r="43" s="6" customFormat="true" ht="12.75" hidden="false" customHeight="false" outlineLevel="2" collapsed="false">
      <c r="A43" s="3" t="s">
        <v>33</v>
      </c>
      <c r="B43" s="4" t="n">
        <v>43159</v>
      </c>
      <c r="C43" s="4" t="n">
        <v>43159</v>
      </c>
      <c r="D43" s="3" t="s">
        <v>72</v>
      </c>
      <c r="E43" s="3" t="s">
        <v>35</v>
      </c>
      <c r="F43" s="3"/>
      <c r="G43" s="3" t="s">
        <v>73</v>
      </c>
      <c r="H43" s="3" t="s">
        <v>37</v>
      </c>
      <c r="I43" s="3" t="s">
        <v>74</v>
      </c>
      <c r="J43" s="5" t="n">
        <v>5078.33</v>
      </c>
    </row>
    <row r="44" s="6" customFormat="true" ht="12.75" hidden="false" customHeight="false" outlineLevel="2" collapsed="false">
      <c r="A44" s="3" t="s">
        <v>33</v>
      </c>
      <c r="B44" s="4" t="n">
        <v>43190</v>
      </c>
      <c r="C44" s="4" t="n">
        <v>43190</v>
      </c>
      <c r="D44" s="3" t="s">
        <v>75</v>
      </c>
      <c r="E44" s="3" t="s">
        <v>35</v>
      </c>
      <c r="F44" s="3"/>
      <c r="G44" s="3" t="s">
        <v>76</v>
      </c>
      <c r="H44" s="3" t="s">
        <v>37</v>
      </c>
      <c r="I44" s="3" t="s">
        <v>77</v>
      </c>
      <c r="J44" s="5" t="n">
        <v>5539.48</v>
      </c>
    </row>
    <row r="45" s="6" customFormat="true" ht="12.75" hidden="false" customHeight="false" outlineLevel="2" collapsed="false">
      <c r="A45" s="3" t="s">
        <v>33</v>
      </c>
      <c r="B45" s="4" t="n">
        <v>43190</v>
      </c>
      <c r="C45" s="4" t="n">
        <v>43190</v>
      </c>
      <c r="D45" s="3" t="s">
        <v>75</v>
      </c>
      <c r="E45" s="3" t="s">
        <v>35</v>
      </c>
      <c r="F45" s="3"/>
      <c r="G45" s="3" t="s">
        <v>76</v>
      </c>
      <c r="H45" s="3" t="s">
        <v>37</v>
      </c>
      <c r="I45" s="3" t="s">
        <v>77</v>
      </c>
      <c r="J45" s="5" t="n">
        <v>-192.46</v>
      </c>
    </row>
    <row r="46" s="6" customFormat="true" ht="12.75" hidden="false" customHeight="false" outlineLevel="2" collapsed="false">
      <c r="A46" s="3" t="s">
        <v>33</v>
      </c>
      <c r="B46" s="4" t="n">
        <v>43220</v>
      </c>
      <c r="C46" s="4" t="n">
        <v>43220</v>
      </c>
      <c r="D46" s="3" t="s">
        <v>78</v>
      </c>
      <c r="E46" s="3" t="s">
        <v>35</v>
      </c>
      <c r="F46" s="3"/>
      <c r="G46" s="3" t="s">
        <v>79</v>
      </c>
      <c r="H46" s="3" t="s">
        <v>37</v>
      </c>
      <c r="I46" s="3" t="s">
        <v>80</v>
      </c>
      <c r="J46" s="5" t="n">
        <v>5539.48</v>
      </c>
    </row>
    <row r="47" s="6" customFormat="true" ht="12.75" hidden="false" customHeight="false" outlineLevel="2" collapsed="false">
      <c r="A47" s="3" t="s">
        <v>33</v>
      </c>
      <c r="B47" s="4" t="n">
        <v>43251</v>
      </c>
      <c r="C47" s="4" t="n">
        <v>43251</v>
      </c>
      <c r="D47" s="3" t="s">
        <v>81</v>
      </c>
      <c r="E47" s="3" t="s">
        <v>35</v>
      </c>
      <c r="F47" s="3"/>
      <c r="G47" s="3" t="s">
        <v>82</v>
      </c>
      <c r="H47" s="3" t="s">
        <v>37</v>
      </c>
      <c r="I47" s="3" t="s">
        <v>83</v>
      </c>
      <c r="J47" s="5" t="n">
        <v>5539.48</v>
      </c>
    </row>
    <row r="48" s="6" customFormat="true" ht="12.75" hidden="false" customHeight="false" outlineLevel="2" collapsed="false">
      <c r="A48" s="3" t="s">
        <v>33</v>
      </c>
      <c r="B48" s="4" t="n">
        <v>43281</v>
      </c>
      <c r="C48" s="4" t="n">
        <v>43281</v>
      </c>
      <c r="D48" s="3" t="s">
        <v>84</v>
      </c>
      <c r="E48" s="3" t="s">
        <v>35</v>
      </c>
      <c r="F48" s="3"/>
      <c r="G48" s="3" t="s">
        <v>85</v>
      </c>
      <c r="H48" s="3" t="s">
        <v>37</v>
      </c>
      <c r="I48" s="3" t="s">
        <v>86</v>
      </c>
      <c r="J48" s="5" t="n">
        <v>5539.48</v>
      </c>
    </row>
    <row r="49" s="6" customFormat="true" ht="12.75" hidden="false" customHeight="false" outlineLevel="2" collapsed="false">
      <c r="A49" s="3" t="s">
        <v>33</v>
      </c>
      <c r="B49" s="4" t="n">
        <v>43312</v>
      </c>
      <c r="C49" s="4" t="n">
        <v>43312</v>
      </c>
      <c r="D49" s="3" t="s">
        <v>87</v>
      </c>
      <c r="E49" s="3" t="s">
        <v>35</v>
      </c>
      <c r="F49" s="3"/>
      <c r="G49" s="3" t="s">
        <v>88</v>
      </c>
      <c r="H49" s="3" t="s">
        <v>37</v>
      </c>
      <c r="I49" s="3" t="s">
        <v>86</v>
      </c>
      <c r="J49" s="5" t="n">
        <v>5539.48</v>
      </c>
    </row>
    <row r="50" s="6" customFormat="true" ht="12.75" hidden="false" customHeight="false" outlineLevel="2" collapsed="false">
      <c r="A50" s="3" t="s">
        <v>33</v>
      </c>
      <c r="B50" s="4" t="n">
        <v>43343</v>
      </c>
      <c r="C50" s="4" t="n">
        <v>43343</v>
      </c>
      <c r="D50" s="3" t="s">
        <v>89</v>
      </c>
      <c r="E50" s="3" t="s">
        <v>35</v>
      </c>
      <c r="F50" s="3"/>
      <c r="G50" s="3" t="s">
        <v>90</v>
      </c>
      <c r="H50" s="3" t="s">
        <v>37</v>
      </c>
      <c r="I50" s="3" t="s">
        <v>91</v>
      </c>
      <c r="J50" s="5" t="n">
        <v>5539.04</v>
      </c>
    </row>
    <row r="51" s="6" customFormat="true" ht="12.75" hidden="false" customHeight="false" outlineLevel="2" collapsed="false">
      <c r="A51" s="3" t="s">
        <v>33</v>
      </c>
      <c r="B51" s="4" t="n">
        <v>43343</v>
      </c>
      <c r="C51" s="4" t="n">
        <v>43343</v>
      </c>
      <c r="D51" s="3" t="s">
        <v>89</v>
      </c>
      <c r="E51" s="3" t="s">
        <v>35</v>
      </c>
      <c r="F51" s="3"/>
      <c r="G51" s="3" t="s">
        <v>90</v>
      </c>
      <c r="H51" s="3" t="s">
        <v>37</v>
      </c>
      <c r="I51" s="3" t="s">
        <v>91</v>
      </c>
      <c r="J51" s="5" t="n">
        <v>-0.44</v>
      </c>
    </row>
    <row r="52" s="6" customFormat="true" ht="12.75" hidden="false" customHeight="false" outlineLevel="2" collapsed="false">
      <c r="A52" s="3" t="s">
        <v>33</v>
      </c>
      <c r="B52" s="4" t="n">
        <v>43373</v>
      </c>
      <c r="C52" s="4" t="n">
        <v>43373</v>
      </c>
      <c r="D52" s="3" t="s">
        <v>92</v>
      </c>
      <c r="E52" s="3" t="s">
        <v>35</v>
      </c>
      <c r="F52" s="3"/>
      <c r="G52" s="3" t="s">
        <v>93</v>
      </c>
      <c r="H52" s="3" t="s">
        <v>37</v>
      </c>
      <c r="I52" s="3" t="s">
        <v>94</v>
      </c>
      <c r="J52" s="5" t="n">
        <v>5539.04</v>
      </c>
    </row>
    <row r="53" s="6" customFormat="true" ht="12.75" hidden="false" customHeight="false" outlineLevel="2" collapsed="false">
      <c r="A53" s="3" t="s">
        <v>33</v>
      </c>
      <c r="B53" s="4" t="n">
        <v>43159</v>
      </c>
      <c r="C53" s="4" t="n">
        <v>43159</v>
      </c>
      <c r="D53" s="3" t="s">
        <v>72</v>
      </c>
      <c r="E53" s="3" t="s">
        <v>67</v>
      </c>
      <c r="F53" s="3"/>
      <c r="G53" s="3" t="s">
        <v>73</v>
      </c>
      <c r="H53" s="3" t="s">
        <v>37</v>
      </c>
      <c r="I53" s="3" t="s">
        <v>74</v>
      </c>
      <c r="J53" s="5" t="n">
        <v>685.06</v>
      </c>
    </row>
    <row r="54" s="6" customFormat="true" ht="12.75" hidden="false" customHeight="false" outlineLevel="2" collapsed="false">
      <c r="A54" s="3" t="s">
        <v>33</v>
      </c>
      <c r="B54" s="4" t="n">
        <v>43190</v>
      </c>
      <c r="C54" s="4" t="n">
        <v>43190</v>
      </c>
      <c r="D54" s="3" t="s">
        <v>75</v>
      </c>
      <c r="E54" s="3" t="s">
        <v>67</v>
      </c>
      <c r="F54" s="3"/>
      <c r="G54" s="3" t="s">
        <v>76</v>
      </c>
      <c r="H54" s="3" t="s">
        <v>37</v>
      </c>
      <c r="I54" s="3" t="s">
        <v>77</v>
      </c>
      <c r="J54" s="5" t="n">
        <v>-14.76</v>
      </c>
    </row>
    <row r="55" s="6" customFormat="true" ht="12.75" hidden="false" customHeight="false" outlineLevel="2" collapsed="false">
      <c r="A55" s="3" t="s">
        <v>33</v>
      </c>
      <c r="B55" s="4" t="n">
        <v>43190</v>
      </c>
      <c r="C55" s="4" t="n">
        <v>43190</v>
      </c>
      <c r="D55" s="3" t="s">
        <v>95</v>
      </c>
      <c r="E55" s="3" t="s">
        <v>67</v>
      </c>
      <c r="F55" s="3"/>
      <c r="G55" s="3" t="s">
        <v>76</v>
      </c>
      <c r="H55" s="3" t="s">
        <v>37</v>
      </c>
      <c r="I55" s="3" t="s">
        <v>96</v>
      </c>
      <c r="J55" s="5" t="n">
        <v>759.97</v>
      </c>
    </row>
    <row r="56" s="6" customFormat="true" ht="12.75" hidden="false" customHeight="false" outlineLevel="2" collapsed="false">
      <c r="A56" s="3" t="s">
        <v>33</v>
      </c>
      <c r="B56" s="4" t="n">
        <v>43220</v>
      </c>
      <c r="C56" s="4" t="n">
        <v>43220</v>
      </c>
      <c r="D56" s="3" t="s">
        <v>78</v>
      </c>
      <c r="E56" s="3" t="s">
        <v>67</v>
      </c>
      <c r="F56" s="3"/>
      <c r="G56" s="3" t="s">
        <v>79</v>
      </c>
      <c r="H56" s="3" t="s">
        <v>37</v>
      </c>
      <c r="I56" s="3" t="s">
        <v>80</v>
      </c>
      <c r="J56" s="5" t="n">
        <v>759.97</v>
      </c>
    </row>
    <row r="57" s="6" customFormat="true" ht="12.75" hidden="false" customHeight="false" outlineLevel="2" collapsed="false">
      <c r="A57" s="3" t="s">
        <v>33</v>
      </c>
      <c r="B57" s="4" t="n">
        <v>43251</v>
      </c>
      <c r="C57" s="4" t="n">
        <v>43251</v>
      </c>
      <c r="D57" s="3" t="s">
        <v>81</v>
      </c>
      <c r="E57" s="3" t="s">
        <v>67</v>
      </c>
      <c r="F57" s="3"/>
      <c r="G57" s="3" t="s">
        <v>82</v>
      </c>
      <c r="H57" s="3" t="s">
        <v>37</v>
      </c>
      <c r="I57" s="3" t="s">
        <v>83</v>
      </c>
      <c r="J57" s="5" t="n">
        <v>759.97</v>
      </c>
    </row>
    <row r="58" s="6" customFormat="true" ht="12.75" hidden="false" customHeight="false" outlineLevel="2" collapsed="false">
      <c r="A58" s="3" t="s">
        <v>33</v>
      </c>
      <c r="B58" s="4" t="n">
        <v>43281</v>
      </c>
      <c r="C58" s="4" t="n">
        <v>43281</v>
      </c>
      <c r="D58" s="3" t="s">
        <v>84</v>
      </c>
      <c r="E58" s="3" t="s">
        <v>67</v>
      </c>
      <c r="F58" s="3"/>
      <c r="G58" s="3" t="s">
        <v>85</v>
      </c>
      <c r="H58" s="3" t="s">
        <v>37</v>
      </c>
      <c r="I58" s="3" t="s">
        <v>86</v>
      </c>
      <c r="J58" s="5" t="n">
        <v>759.97</v>
      </c>
    </row>
    <row r="59" s="6" customFormat="true" ht="12.75" hidden="false" customHeight="false" outlineLevel="2" collapsed="false">
      <c r="A59" s="3" t="s">
        <v>33</v>
      </c>
      <c r="B59" s="4" t="n">
        <v>43312</v>
      </c>
      <c r="C59" s="4" t="n">
        <v>43312</v>
      </c>
      <c r="D59" s="3" t="s">
        <v>97</v>
      </c>
      <c r="E59" s="3" t="s">
        <v>67</v>
      </c>
      <c r="F59" s="3"/>
      <c r="G59" s="3" t="s">
        <v>88</v>
      </c>
      <c r="H59" s="3" t="s">
        <v>37</v>
      </c>
      <c r="I59" s="3" t="s">
        <v>98</v>
      </c>
      <c r="J59" s="5" t="n">
        <v>759.97</v>
      </c>
    </row>
    <row r="60" s="6" customFormat="true" ht="12.75" hidden="false" customHeight="false" outlineLevel="2" collapsed="false">
      <c r="A60" s="3" t="s">
        <v>33</v>
      </c>
      <c r="B60" s="4" t="n">
        <v>43343</v>
      </c>
      <c r="C60" s="4" t="n">
        <v>43343</v>
      </c>
      <c r="D60" s="3" t="s">
        <v>99</v>
      </c>
      <c r="E60" s="3" t="s">
        <v>67</v>
      </c>
      <c r="F60" s="3"/>
      <c r="G60" s="3" t="s">
        <v>90</v>
      </c>
      <c r="H60" s="3" t="s">
        <v>37</v>
      </c>
      <c r="I60" s="3" t="s">
        <v>100</v>
      </c>
      <c r="J60" s="5" t="n">
        <v>759.93</v>
      </c>
    </row>
    <row r="61" s="6" customFormat="true" ht="12.75" hidden="false" customHeight="false" outlineLevel="2" collapsed="false">
      <c r="A61" s="3" t="s">
        <v>33</v>
      </c>
      <c r="B61" s="4" t="n">
        <v>43343</v>
      </c>
      <c r="C61" s="4" t="n">
        <v>43343</v>
      </c>
      <c r="D61" s="3" t="s">
        <v>89</v>
      </c>
      <c r="E61" s="3" t="s">
        <v>67</v>
      </c>
      <c r="F61" s="3"/>
      <c r="G61" s="3" t="s">
        <v>90</v>
      </c>
      <c r="H61" s="3" t="s">
        <v>37</v>
      </c>
      <c r="I61" s="3" t="s">
        <v>91</v>
      </c>
      <c r="J61" s="5" t="n">
        <v>-0.04</v>
      </c>
    </row>
    <row r="62" s="6" customFormat="true" ht="12.75" hidden="false" customHeight="false" outlineLevel="2" collapsed="false">
      <c r="A62" s="3" t="s">
        <v>33</v>
      </c>
      <c r="B62" s="4" t="n">
        <v>43373</v>
      </c>
      <c r="C62" s="4" t="n">
        <v>43373</v>
      </c>
      <c r="D62" s="3" t="s">
        <v>92</v>
      </c>
      <c r="E62" s="3" t="s">
        <v>67</v>
      </c>
      <c r="F62" s="3"/>
      <c r="G62" s="3" t="s">
        <v>93</v>
      </c>
      <c r="H62" s="3" t="s">
        <v>37</v>
      </c>
      <c r="I62" s="3" t="s">
        <v>94</v>
      </c>
      <c r="J62" s="5" t="n">
        <v>759.93</v>
      </c>
    </row>
    <row r="63" s="6" customFormat="true" ht="12.75" hidden="false" customHeight="false" outlineLevel="2" collapsed="false">
      <c r="A63" s="3" t="s">
        <v>33</v>
      </c>
      <c r="B63" s="4" t="n">
        <v>43159</v>
      </c>
      <c r="C63" s="4" t="n">
        <v>43159</v>
      </c>
      <c r="D63" s="3" t="s">
        <v>72</v>
      </c>
      <c r="E63" s="3" t="s">
        <v>69</v>
      </c>
      <c r="F63" s="3"/>
      <c r="G63" s="3" t="s">
        <v>73</v>
      </c>
      <c r="H63" s="3" t="s">
        <v>37</v>
      </c>
      <c r="I63" s="3" t="s">
        <v>74</v>
      </c>
      <c r="J63" s="5" t="n">
        <v>276.05</v>
      </c>
    </row>
    <row r="64" s="6" customFormat="true" ht="12.75" hidden="false" customHeight="false" outlineLevel="2" collapsed="false">
      <c r="A64" s="3" t="s">
        <v>33</v>
      </c>
      <c r="B64" s="4" t="n">
        <v>43190</v>
      </c>
      <c r="C64" s="4" t="n">
        <v>43190</v>
      </c>
      <c r="D64" s="3" t="s">
        <v>75</v>
      </c>
      <c r="E64" s="3" t="s">
        <v>69</v>
      </c>
      <c r="F64" s="3"/>
      <c r="G64" s="3" t="s">
        <v>76</v>
      </c>
      <c r="H64" s="3" t="s">
        <v>37</v>
      </c>
      <c r="I64" s="3" t="s">
        <v>77</v>
      </c>
      <c r="J64" s="5" t="n">
        <v>-10.46</v>
      </c>
    </row>
    <row r="65" s="6" customFormat="true" ht="12.75" hidden="false" customHeight="false" outlineLevel="2" collapsed="false">
      <c r="A65" s="3" t="s">
        <v>33</v>
      </c>
      <c r="B65" s="4" t="n">
        <v>43190</v>
      </c>
      <c r="C65" s="4" t="n">
        <v>43190</v>
      </c>
      <c r="D65" s="3" t="s">
        <v>95</v>
      </c>
      <c r="E65" s="3" t="s">
        <v>69</v>
      </c>
      <c r="F65" s="3"/>
      <c r="G65" s="3" t="s">
        <v>76</v>
      </c>
      <c r="H65" s="3" t="s">
        <v>37</v>
      </c>
      <c r="I65" s="3" t="s">
        <v>96</v>
      </c>
      <c r="J65" s="5" t="n">
        <v>269.27</v>
      </c>
    </row>
    <row r="66" s="6" customFormat="true" ht="12.75" hidden="false" customHeight="false" outlineLevel="2" collapsed="false">
      <c r="A66" s="3" t="s">
        <v>33</v>
      </c>
      <c r="B66" s="4" t="n">
        <v>43220</v>
      </c>
      <c r="C66" s="4" t="n">
        <v>43220</v>
      </c>
      <c r="D66" s="3" t="s">
        <v>78</v>
      </c>
      <c r="E66" s="3" t="s">
        <v>69</v>
      </c>
      <c r="F66" s="3"/>
      <c r="G66" s="3" t="s">
        <v>79</v>
      </c>
      <c r="H66" s="3" t="s">
        <v>37</v>
      </c>
      <c r="I66" s="3" t="s">
        <v>80</v>
      </c>
      <c r="J66" s="5" t="n">
        <v>269.27</v>
      </c>
    </row>
    <row r="67" s="6" customFormat="true" ht="12.75" hidden="false" customHeight="false" outlineLevel="2" collapsed="false">
      <c r="A67" s="3" t="s">
        <v>33</v>
      </c>
      <c r="B67" s="4" t="n">
        <v>43251</v>
      </c>
      <c r="C67" s="4" t="n">
        <v>43251</v>
      </c>
      <c r="D67" s="3" t="s">
        <v>81</v>
      </c>
      <c r="E67" s="3" t="s">
        <v>69</v>
      </c>
      <c r="F67" s="3"/>
      <c r="G67" s="3" t="s">
        <v>82</v>
      </c>
      <c r="H67" s="3" t="s">
        <v>37</v>
      </c>
      <c r="I67" s="3" t="s">
        <v>83</v>
      </c>
      <c r="J67" s="5" t="n">
        <v>269.27</v>
      </c>
    </row>
    <row r="68" s="6" customFormat="true" ht="12.75" hidden="false" customHeight="false" outlineLevel="2" collapsed="false">
      <c r="A68" s="3" t="s">
        <v>33</v>
      </c>
      <c r="B68" s="4" t="n">
        <v>43281</v>
      </c>
      <c r="C68" s="4" t="n">
        <v>43281</v>
      </c>
      <c r="D68" s="3" t="s">
        <v>84</v>
      </c>
      <c r="E68" s="3" t="s">
        <v>69</v>
      </c>
      <c r="F68" s="3"/>
      <c r="G68" s="3" t="s">
        <v>85</v>
      </c>
      <c r="H68" s="3" t="s">
        <v>37</v>
      </c>
      <c r="I68" s="3" t="s">
        <v>86</v>
      </c>
      <c r="J68" s="5" t="n">
        <v>269.27</v>
      </c>
    </row>
    <row r="69" s="6" customFormat="true" ht="12.75" hidden="false" customHeight="false" outlineLevel="2" collapsed="false">
      <c r="A69" s="3" t="s">
        <v>33</v>
      </c>
      <c r="B69" s="4" t="n">
        <v>43312</v>
      </c>
      <c r="C69" s="4" t="n">
        <v>43312</v>
      </c>
      <c r="D69" s="3" t="s">
        <v>97</v>
      </c>
      <c r="E69" s="3" t="s">
        <v>69</v>
      </c>
      <c r="F69" s="3"/>
      <c r="G69" s="3" t="s">
        <v>88</v>
      </c>
      <c r="H69" s="3" t="s">
        <v>37</v>
      </c>
      <c r="I69" s="3" t="s">
        <v>98</v>
      </c>
      <c r="J69" s="5" t="n">
        <v>269.27</v>
      </c>
    </row>
    <row r="70" s="6" customFormat="true" ht="12.75" hidden="false" customHeight="false" outlineLevel="2" collapsed="false">
      <c r="A70" s="3" t="s">
        <v>33</v>
      </c>
      <c r="B70" s="4" t="n">
        <v>43343</v>
      </c>
      <c r="C70" s="4" t="n">
        <v>43343</v>
      </c>
      <c r="D70" s="3" t="s">
        <v>99</v>
      </c>
      <c r="E70" s="3" t="s">
        <v>69</v>
      </c>
      <c r="F70" s="3"/>
      <c r="G70" s="3" t="s">
        <v>90</v>
      </c>
      <c r="H70" s="3" t="s">
        <v>37</v>
      </c>
      <c r="I70" s="3" t="s">
        <v>100</v>
      </c>
      <c r="J70" s="5" t="n">
        <v>269.25</v>
      </c>
    </row>
    <row r="71" s="6" customFormat="true" ht="12.75" hidden="false" customHeight="false" outlineLevel="2" collapsed="false">
      <c r="A71" s="3" t="s">
        <v>33</v>
      </c>
      <c r="B71" s="4" t="n">
        <v>43343</v>
      </c>
      <c r="C71" s="4" t="n">
        <v>43343</v>
      </c>
      <c r="D71" s="3" t="s">
        <v>89</v>
      </c>
      <c r="E71" s="3" t="s">
        <v>69</v>
      </c>
      <c r="F71" s="3"/>
      <c r="G71" s="3" t="s">
        <v>90</v>
      </c>
      <c r="H71" s="3" t="s">
        <v>37</v>
      </c>
      <c r="I71" s="3" t="s">
        <v>91</v>
      </c>
      <c r="J71" s="5" t="n">
        <v>-0.02</v>
      </c>
    </row>
    <row r="72" s="6" customFormat="true" ht="12.75" hidden="false" customHeight="false" outlineLevel="2" collapsed="false">
      <c r="A72" s="3" t="s">
        <v>33</v>
      </c>
      <c r="B72" s="4" t="n">
        <v>43373</v>
      </c>
      <c r="C72" s="4" t="n">
        <v>43373</v>
      </c>
      <c r="D72" s="3" t="s">
        <v>92</v>
      </c>
      <c r="E72" s="3" t="s">
        <v>69</v>
      </c>
      <c r="F72" s="3"/>
      <c r="G72" s="3" t="s">
        <v>93</v>
      </c>
      <c r="H72" s="3" t="s">
        <v>37</v>
      </c>
      <c r="I72" s="3" t="s">
        <v>94</v>
      </c>
      <c r="J72" s="5" t="n">
        <v>269.25</v>
      </c>
    </row>
    <row r="73" s="6" customFormat="true" ht="12.75" hidden="false" customHeight="fals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18" t="n">
        <f aca="false">SUM(J43:J72)</f>
        <v>51801.3</v>
      </c>
    </row>
    <row r="74" s="6" customFormat="true" ht="12.75" hidden="false" customHeight="false" outlineLevel="2" collapsed="false">
      <c r="A74" s="3" t="s">
        <v>18</v>
      </c>
      <c r="B74" s="4" t="n">
        <v>43188</v>
      </c>
      <c r="C74" s="4" t="n">
        <v>43188</v>
      </c>
      <c r="D74" s="3" t="s">
        <v>101</v>
      </c>
      <c r="E74" s="3" t="s">
        <v>102</v>
      </c>
      <c r="F74" s="3" t="s">
        <v>103</v>
      </c>
      <c r="G74" s="3" t="s">
        <v>104</v>
      </c>
      <c r="H74" s="3" t="s">
        <v>105</v>
      </c>
      <c r="I74" s="3" t="s">
        <v>106</v>
      </c>
      <c r="J74" s="5" t="n">
        <v>600</v>
      </c>
    </row>
    <row r="75" s="6" customFormat="true" ht="12.75" hidden="false" customHeight="false" outlineLevel="2" collapsed="false">
      <c r="A75" s="3" t="s">
        <v>18</v>
      </c>
      <c r="B75" s="4" t="n">
        <v>43281</v>
      </c>
      <c r="C75" s="4" t="n">
        <v>43378</v>
      </c>
      <c r="D75" s="3" t="s">
        <v>107</v>
      </c>
      <c r="E75" s="3" t="s">
        <v>108</v>
      </c>
      <c r="F75" s="3"/>
      <c r="G75" s="3" t="s">
        <v>109</v>
      </c>
      <c r="H75" s="3" t="s">
        <v>110</v>
      </c>
      <c r="I75" s="3" t="s">
        <v>111</v>
      </c>
      <c r="J75" s="5" t="n">
        <v>20</v>
      </c>
    </row>
    <row r="76" s="6" customFormat="true" ht="12.75" hidden="false" customHeight="false" outlineLevel="2" collapsed="false">
      <c r="A76" s="3" t="s">
        <v>18</v>
      </c>
      <c r="B76" s="4" t="n">
        <v>43281</v>
      </c>
      <c r="C76" s="4" t="n">
        <v>43378</v>
      </c>
      <c r="D76" s="3" t="s">
        <v>107</v>
      </c>
      <c r="E76" s="3" t="s">
        <v>108</v>
      </c>
      <c r="F76" s="3"/>
      <c r="G76" s="3" t="s">
        <v>109</v>
      </c>
      <c r="H76" s="3" t="s">
        <v>110</v>
      </c>
      <c r="I76" s="3" t="s">
        <v>111</v>
      </c>
      <c r="J76" s="5" t="n">
        <v>44.6</v>
      </c>
    </row>
    <row r="77" s="6" customFormat="true" ht="12.75" hidden="false" customHeight="false" outlineLevel="2" collapsed="false">
      <c r="A77" s="3" t="s">
        <v>18</v>
      </c>
      <c r="B77" s="4" t="n">
        <v>43281</v>
      </c>
      <c r="C77" s="4" t="n">
        <v>43378</v>
      </c>
      <c r="D77" s="3" t="s">
        <v>107</v>
      </c>
      <c r="E77" s="3" t="s">
        <v>108</v>
      </c>
      <c r="F77" s="3"/>
      <c r="G77" s="3" t="s">
        <v>109</v>
      </c>
      <c r="H77" s="3" t="s">
        <v>112</v>
      </c>
      <c r="I77" s="3" t="s">
        <v>111</v>
      </c>
      <c r="J77" s="5" t="n">
        <v>44.6</v>
      </c>
    </row>
    <row r="78" s="6" customFormat="true" ht="12.75" hidden="false" customHeight="false" outlineLevel="2" collapsed="false">
      <c r="A78" s="3" t="s">
        <v>18</v>
      </c>
      <c r="B78" s="4" t="n">
        <v>43281</v>
      </c>
      <c r="C78" s="4" t="n">
        <v>43378</v>
      </c>
      <c r="D78" s="3" t="s">
        <v>107</v>
      </c>
      <c r="E78" s="3" t="s">
        <v>108</v>
      </c>
      <c r="F78" s="3"/>
      <c r="G78" s="3" t="s">
        <v>109</v>
      </c>
      <c r="H78" s="3"/>
      <c r="I78" s="3" t="s">
        <v>111</v>
      </c>
      <c r="J78" s="5" t="n">
        <v>4.2</v>
      </c>
    </row>
    <row r="79" s="6" customFormat="true" ht="12.75" hidden="false" customHeight="false" outlineLevel="2" collapsed="false">
      <c r="A79" s="3" t="s">
        <v>18</v>
      </c>
      <c r="B79" s="4" t="n">
        <v>43312</v>
      </c>
      <c r="C79" s="4" t="n">
        <v>43391</v>
      </c>
      <c r="D79" s="3" t="s">
        <v>113</v>
      </c>
      <c r="E79" s="3" t="s">
        <v>108</v>
      </c>
      <c r="F79" s="3"/>
      <c r="G79" s="3" t="s">
        <v>114</v>
      </c>
      <c r="H79" s="3" t="s">
        <v>110</v>
      </c>
      <c r="I79" s="3" t="s">
        <v>111</v>
      </c>
      <c r="J79" s="5" t="n">
        <v>10</v>
      </c>
    </row>
    <row r="80" s="6" customFormat="true" ht="12.75" hidden="false" customHeight="false" outlineLevel="2" collapsed="false">
      <c r="A80" s="3" t="s">
        <v>18</v>
      </c>
      <c r="B80" s="4" t="n">
        <v>43312</v>
      </c>
      <c r="C80" s="4" t="n">
        <v>43391</v>
      </c>
      <c r="D80" s="3" t="s">
        <v>113</v>
      </c>
      <c r="E80" s="3" t="s">
        <v>108</v>
      </c>
      <c r="F80" s="3"/>
      <c r="G80" s="3" t="s">
        <v>114</v>
      </c>
      <c r="H80" s="3"/>
      <c r="I80" s="3" t="s">
        <v>111</v>
      </c>
      <c r="J80" s="5" t="n">
        <v>2.1</v>
      </c>
    </row>
    <row r="81" s="6" customFormat="true" ht="12.75" hidden="false" customHeight="false" outlineLevel="2" collapsed="false">
      <c r="A81" s="3" t="s">
        <v>18</v>
      </c>
      <c r="B81" s="4" t="n">
        <v>43312</v>
      </c>
      <c r="C81" s="4" t="n">
        <v>43391</v>
      </c>
      <c r="D81" s="3" t="s">
        <v>115</v>
      </c>
      <c r="E81" s="3" t="s">
        <v>108</v>
      </c>
      <c r="F81" s="3"/>
      <c r="G81" s="3" t="s">
        <v>116</v>
      </c>
      <c r="H81" s="3" t="s">
        <v>112</v>
      </c>
      <c r="I81" s="3" t="s">
        <v>111</v>
      </c>
      <c r="J81" s="5" t="n">
        <v>20</v>
      </c>
    </row>
    <row r="82" s="6" customFormat="true" ht="12.75" hidden="false" customHeight="false" outlineLevel="2" collapsed="false">
      <c r="A82" s="3" t="s">
        <v>18</v>
      </c>
      <c r="B82" s="4" t="n">
        <v>43312</v>
      </c>
      <c r="C82" s="4" t="n">
        <v>43391</v>
      </c>
      <c r="D82" s="3" t="s">
        <v>115</v>
      </c>
      <c r="E82" s="3" t="s">
        <v>108</v>
      </c>
      <c r="F82" s="3"/>
      <c r="G82" s="3" t="s">
        <v>116</v>
      </c>
      <c r="H82" s="3" t="s">
        <v>112</v>
      </c>
      <c r="I82" s="3" t="s">
        <v>111</v>
      </c>
      <c r="J82" s="5" t="n">
        <v>44.6</v>
      </c>
    </row>
    <row r="83" s="6" customFormat="true" ht="12.75" hidden="false" customHeight="false" outlineLevel="2" collapsed="false">
      <c r="A83" s="3" t="s">
        <v>18</v>
      </c>
      <c r="B83" s="4" t="n">
        <v>43312</v>
      </c>
      <c r="C83" s="4" t="n">
        <v>43391</v>
      </c>
      <c r="D83" s="3" t="s">
        <v>115</v>
      </c>
      <c r="E83" s="3" t="s">
        <v>108</v>
      </c>
      <c r="F83" s="3"/>
      <c r="G83" s="3" t="s">
        <v>116</v>
      </c>
      <c r="H83" s="3"/>
      <c r="I83" s="3" t="s">
        <v>111</v>
      </c>
      <c r="J83" s="5" t="n">
        <v>4.2</v>
      </c>
    </row>
    <row r="84" s="6" customFormat="true" ht="12.75" hidden="false" customHeight="fals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18" t="n">
        <f aca="false">SUM(J74:J83)</f>
        <v>794.3</v>
      </c>
    </row>
    <row r="85" s="6" customFormat="true" ht="12.75" hidden="false" customHeight="false" outlineLevel="2" collapsed="false">
      <c r="A85" s="3" t="s">
        <v>12</v>
      </c>
      <c r="B85" s="4" t="n">
        <v>43143</v>
      </c>
      <c r="C85" s="4" t="n">
        <v>43175</v>
      </c>
      <c r="D85" s="3" t="s">
        <v>117</v>
      </c>
      <c r="E85" s="3" t="s">
        <v>118</v>
      </c>
      <c r="F85" s="3" t="s">
        <v>24</v>
      </c>
      <c r="G85" s="3" t="s">
        <v>119</v>
      </c>
      <c r="H85" s="3"/>
      <c r="I85" s="3" t="s">
        <v>120</v>
      </c>
      <c r="J85" s="5" t="n">
        <v>3428.74</v>
      </c>
    </row>
    <row r="86" s="6" customFormat="true" ht="12.75" hidden="false" customHeight="fals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18" t="n">
        <f aca="false">SUM(J85)</f>
        <v>3428.74</v>
      </c>
    </row>
  </sheetData>
  <mergeCells count="2">
    <mergeCell ref="A2:K2"/>
    <mergeCell ref="A41:J4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I34" activeCellId="0" sqref="I34"/>
    </sheetView>
  </sheetViews>
  <sheetFormatPr defaultRowHeight="12.75" zeroHeight="false" outlineLevelRow="0" outlineLevelCol="0"/>
  <cols>
    <col collapsed="false" customWidth="true" hidden="false" outlineLevel="0" max="1" min="1" style="0" width="10.5"/>
    <col collapsed="false" customWidth="true" hidden="false" outlineLevel="0" max="2" min="2" style="0" width="49.42"/>
    <col collapsed="false" customWidth="true" hidden="false" outlineLevel="0" max="5" min="3" style="0" width="10.5"/>
    <col collapsed="false" customWidth="true" hidden="false" outlineLevel="0" max="7" min="6" style="0" width="13.01"/>
    <col collapsed="false" customWidth="true" hidden="false" outlineLevel="0" max="1025" min="8" style="0" width="10.5"/>
  </cols>
  <sheetData>
    <row r="1" customFormat="false" ht="12.75" hidden="false" customHeight="false" outlineLevel="0" collapsed="false">
      <c r="A1" s="19" t="s">
        <v>121</v>
      </c>
      <c r="B1" s="19"/>
      <c r="C1" s="19"/>
      <c r="D1" s="19"/>
      <c r="E1" s="19"/>
      <c r="F1" s="19"/>
      <c r="G1" s="19"/>
    </row>
    <row r="2" customFormat="false" ht="12.75" hidden="false" customHeight="false" outlineLevel="0" collapsed="false">
      <c r="A2" s="19" t="s">
        <v>122</v>
      </c>
      <c r="B2" s="19"/>
      <c r="C2" s="19"/>
      <c r="D2" s="19"/>
      <c r="E2" s="19"/>
      <c r="F2" s="19"/>
      <c r="G2" s="19"/>
    </row>
    <row r="3" customFormat="false" ht="12.75" hidden="false" customHeight="false" outlineLevel="0" collapsed="false">
      <c r="A3" s="20"/>
      <c r="B3" s="20"/>
      <c r="C3" s="20"/>
      <c r="D3" s="20" t="s">
        <v>123</v>
      </c>
      <c r="E3" s="20" t="s">
        <v>124</v>
      </c>
      <c r="F3" s="20" t="s">
        <v>123</v>
      </c>
      <c r="G3" s="20" t="s">
        <v>124</v>
      </c>
    </row>
    <row r="4" customFormat="false" ht="12.75" hidden="false" customHeight="false" outlineLevel="0" collapsed="false">
      <c r="A4" s="20" t="s">
        <v>125</v>
      </c>
      <c r="B4" s="20" t="s">
        <v>126</v>
      </c>
      <c r="C4" s="20" t="s">
        <v>127</v>
      </c>
      <c r="D4" s="20" t="s">
        <v>128</v>
      </c>
      <c r="E4" s="20" t="s">
        <v>128</v>
      </c>
      <c r="F4" s="20" t="s">
        <v>129</v>
      </c>
      <c r="G4" s="20" t="s">
        <v>129</v>
      </c>
    </row>
    <row r="5" customFormat="false" ht="12.75" hidden="false" customHeight="false" outlineLevel="0" collapsed="false">
      <c r="A5" s="21" t="n">
        <v>1</v>
      </c>
      <c r="B5" s="21" t="s">
        <v>130</v>
      </c>
      <c r="C5" s="22" t="n">
        <v>282820</v>
      </c>
      <c r="D5" s="22" t="n">
        <v>51801.3</v>
      </c>
      <c r="E5" s="22" t="n">
        <v>51801.3</v>
      </c>
      <c r="F5" s="22" t="n">
        <f aca="false">F6</f>
        <v>54915.84</v>
      </c>
      <c r="G5" s="21"/>
    </row>
    <row r="6" customFormat="false" ht="12.75" hidden="false" customHeight="false" outlineLevel="0" collapsed="false">
      <c r="A6" s="21" t="s">
        <v>131</v>
      </c>
      <c r="B6" s="21" t="s">
        <v>132</v>
      </c>
      <c r="C6" s="21"/>
      <c r="D6" s="21" t="n">
        <v>51801.3</v>
      </c>
      <c r="E6" s="21" t="n">
        <v>51801.3</v>
      </c>
      <c r="F6" s="21" t="n">
        <f aca="false">DEPENSES!J39</f>
        <v>54915.84</v>
      </c>
      <c r="G6" s="21"/>
    </row>
    <row r="7" customFormat="false" ht="12.75" hidden="false" customHeight="false" outlineLevel="0" collapsed="false">
      <c r="A7" s="21"/>
      <c r="B7" s="21"/>
      <c r="C7" s="21"/>
      <c r="D7" s="21"/>
      <c r="E7" s="21"/>
      <c r="F7" s="21"/>
      <c r="G7" s="21"/>
    </row>
    <row r="8" customFormat="false" ht="12.75" hidden="false" customHeight="false" outlineLevel="0" collapsed="false">
      <c r="A8" s="21" t="n">
        <v>2</v>
      </c>
      <c r="B8" s="23" t="s">
        <v>133</v>
      </c>
      <c r="C8" s="22" t="n">
        <v>15000</v>
      </c>
      <c r="D8" s="22" t="n">
        <f aca="false">SUM(D9:D11)</f>
        <v>794.3</v>
      </c>
      <c r="E8" s="22" t="n">
        <f aca="false">SUM(E9:E11)</f>
        <v>794.3</v>
      </c>
      <c r="F8" s="22" t="n">
        <f aca="false">SUM(F9:F11)</f>
        <v>165</v>
      </c>
      <c r="G8" s="21"/>
    </row>
    <row r="9" customFormat="false" ht="12.75" hidden="false" customHeight="false" outlineLevel="0" collapsed="false">
      <c r="A9" s="23" t="s">
        <v>134</v>
      </c>
      <c r="B9" s="23" t="s">
        <v>135</v>
      </c>
      <c r="C9" s="21" t="n">
        <v>12000</v>
      </c>
      <c r="D9" s="21" t="n">
        <v>794.3</v>
      </c>
      <c r="E9" s="21" t="n">
        <f aca="false">794.3</f>
        <v>794.3</v>
      </c>
      <c r="F9" s="21" t="n">
        <f aca="false">DEPENSES!J8</f>
        <v>49.5</v>
      </c>
      <c r="G9" s="21"/>
    </row>
    <row r="10" customFormat="false" ht="12.75" hidden="false" customHeight="false" outlineLevel="0" collapsed="false">
      <c r="A10" s="23" t="s">
        <v>136</v>
      </c>
      <c r="B10" s="23" t="s">
        <v>137</v>
      </c>
      <c r="C10" s="21" t="n">
        <v>1500</v>
      </c>
      <c r="D10" s="21" t="n">
        <v>0</v>
      </c>
      <c r="E10" s="21" t="n">
        <v>0</v>
      </c>
      <c r="F10" s="21" t="n">
        <v>0</v>
      </c>
      <c r="G10" s="21"/>
    </row>
    <row r="11" customFormat="false" ht="12.75" hidden="false" customHeight="false" outlineLevel="0" collapsed="false">
      <c r="A11" s="23" t="s">
        <v>138</v>
      </c>
      <c r="B11" s="23" t="s">
        <v>139</v>
      </c>
      <c r="C11" s="21" t="n">
        <v>1500</v>
      </c>
      <c r="D11" s="21" t="n">
        <v>0</v>
      </c>
      <c r="E11" s="21" t="n">
        <v>0</v>
      </c>
      <c r="F11" s="21" t="n">
        <f aca="false">DEPENSES!J6+DEPENSES!J7</f>
        <v>115.5</v>
      </c>
      <c r="G11" s="21"/>
    </row>
    <row r="12" customFormat="false" ht="12.75" hidden="false" customHeight="false" outlineLevel="0" collapsed="false">
      <c r="A12" s="21"/>
      <c r="B12" s="21"/>
      <c r="C12" s="21"/>
      <c r="D12" s="21"/>
      <c r="E12" s="21"/>
      <c r="F12" s="21"/>
      <c r="G12" s="21"/>
    </row>
    <row r="13" customFormat="false" ht="12.75" hidden="false" customHeight="false" outlineLevel="0" collapsed="false">
      <c r="A13" s="21" t="n">
        <v>3</v>
      </c>
      <c r="B13" s="23" t="s">
        <v>140</v>
      </c>
      <c r="C13" s="22" t="n">
        <v>5000</v>
      </c>
      <c r="D13" s="22" t="n">
        <v>3428.74</v>
      </c>
      <c r="E13" s="22" t="n">
        <v>3333.5</v>
      </c>
      <c r="F13" s="22" t="n">
        <f aca="false">DEPENSES!J4</f>
        <v>105</v>
      </c>
      <c r="G13" s="21"/>
    </row>
    <row r="14" customFormat="false" ht="12.75" hidden="false" customHeight="false" outlineLevel="0" collapsed="false">
      <c r="A14" s="23" t="s">
        <v>141</v>
      </c>
      <c r="B14" s="23" t="s">
        <v>142</v>
      </c>
      <c r="C14" s="21"/>
      <c r="D14" s="21"/>
      <c r="E14" s="21"/>
      <c r="F14" s="21"/>
      <c r="G14" s="21"/>
    </row>
    <row r="15" customFormat="false" ht="12.75" hidden="false" customHeight="false" outlineLevel="0" collapsed="false">
      <c r="A15" s="21"/>
      <c r="B15" s="21"/>
      <c r="C15" s="21"/>
      <c r="D15" s="21"/>
      <c r="E15" s="21"/>
      <c r="F15" s="21"/>
      <c r="G15" s="21"/>
    </row>
    <row r="16" customFormat="false" ht="12.75" hidden="false" customHeight="false" outlineLevel="0" collapsed="false">
      <c r="A16" s="21" t="n">
        <v>4</v>
      </c>
      <c r="B16" s="23" t="s">
        <v>143</v>
      </c>
      <c r="C16" s="22" t="n">
        <v>29782</v>
      </c>
      <c r="D16" s="22" t="n">
        <v>5199.56</v>
      </c>
      <c r="E16" s="22" t="n">
        <v>5199.56</v>
      </c>
      <c r="F16" s="22" t="n">
        <f aca="false">10%*(F5+F8)</f>
        <v>5508.084</v>
      </c>
      <c r="G16" s="21"/>
    </row>
    <row r="17" customFormat="false" ht="12.75" hidden="false" customHeight="false" outlineLevel="0" collapsed="false">
      <c r="A17" s="21"/>
      <c r="B17" s="23" t="s">
        <v>144</v>
      </c>
      <c r="C17" s="21"/>
      <c r="D17" s="21"/>
      <c r="E17" s="21"/>
      <c r="F17" s="21"/>
      <c r="G17" s="21"/>
    </row>
    <row r="18" customFormat="false" ht="12.75" hidden="false" customHeight="false" outlineLevel="0" collapsed="false">
      <c r="A18" s="21"/>
      <c r="B18" s="21"/>
      <c r="C18" s="21"/>
      <c r="D18" s="21"/>
      <c r="E18" s="21"/>
      <c r="F18" s="21"/>
      <c r="G18" s="21"/>
    </row>
    <row r="19" customFormat="false" ht="12.75" hidden="false" customHeight="false" outlineLevel="0" collapsed="false">
      <c r="A19" s="24"/>
      <c r="B19" s="25" t="s">
        <v>145</v>
      </c>
      <c r="C19" s="25" t="n">
        <f aca="false">C5+C8+C13+C16</f>
        <v>332602</v>
      </c>
      <c r="D19" s="24" t="n">
        <f aca="false">D5+D8+D13+D16</f>
        <v>61223.9</v>
      </c>
      <c r="E19" s="24" t="n">
        <f aca="false">E5+E8+E13+E16</f>
        <v>61128.66</v>
      </c>
      <c r="F19" s="24" t="n">
        <f aca="false">F5+F8+F13+F16</f>
        <v>60693.924</v>
      </c>
      <c r="G19" s="24"/>
    </row>
  </sheetData>
  <mergeCells count="2">
    <mergeCell ref="A1:G1"/>
    <mergeCell ref="A2:G2"/>
  </mergeCells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LibreOffice/6.0.1.1$MacOSX_X86_64 LibreOffice_project/60bfb1526849283ce2491346ed2aa51c465abfe6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2019-07-24T13:20:41Z</dcterms:created>
  <dc:creator>Steve Arokium</dc:creator>
  <dc:description/>
  <dc:language>en-US</dc:language>
  <cp:lastModifiedBy/>
  <cp:lastPrinted>2019-07-24T12:51:54Z</cp:lastPrinted>
  <dcterms:modified xsi:type="dcterms:W3CDTF">2019-07-24T22:49:01Z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